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racker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Rate 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DD, YYYY"/>
    <numFmt numFmtId="166" formatCode="$#,##0.00"/>
    <numFmt numFmtId="167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A7060"/>
      <sz val="10"/>
    </font>
    <font>
      <name val="Arial"/>
      <b val="1"/>
      <color rgb="00FFFFFF"/>
      <sz val="9"/>
    </font>
    <font>
      <name val="Arial"/>
      <color rgb="000F0D0A"/>
      <sz val="9"/>
    </font>
    <font>
      <name val="Arial"/>
      <b val="1"/>
      <color rgb="00065F46"/>
      <sz val="9"/>
    </font>
    <font>
      <name val="Arial"/>
      <b val="1"/>
      <color rgb="0092400E"/>
      <sz val="9"/>
    </font>
    <font>
      <name val="Arial"/>
      <b val="1"/>
      <color rgb="00991B1B"/>
      <sz val="9"/>
    </font>
    <font>
      <name val="Arial"/>
      <b val="1"/>
      <color rgb="00374151"/>
      <sz val="9"/>
    </font>
    <font>
      <name val="Arial"/>
      <b val="1"/>
      <color rgb="000F0D0A"/>
      <sz val="11"/>
    </font>
    <font>
      <name val="Arial"/>
      <color rgb="000F0D0A"/>
      <sz val="10"/>
    </font>
    <font>
      <name val="Arial"/>
      <b val="1"/>
      <color rgb="000F0D0A"/>
      <sz val="10"/>
    </font>
    <font>
      <name val="Arial"/>
      <color rgb="002A7A4A"/>
      <sz val="10"/>
    </font>
    <font>
      <name val="Arial"/>
      <b val="1"/>
      <color rgb="002A7A4A"/>
      <sz val="10"/>
    </font>
    <font>
      <name val="Arial"/>
      <color rgb="00D97706"/>
      <sz val="10"/>
    </font>
    <font>
      <name val="Arial"/>
      <b val="1"/>
      <color rgb="00D97706"/>
      <sz val="10"/>
    </font>
    <font>
      <name val="Arial"/>
      <color rgb="00C8382A"/>
      <sz val="10"/>
    </font>
    <font>
      <name val="Arial"/>
      <b val="1"/>
      <color rgb="00C8382A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7A7060"/>
      <sz val="10"/>
    </font>
    <font>
      <name val="Arial"/>
      <b val="1"/>
      <color rgb="000000FF"/>
      <sz val="10"/>
    </font>
    <font>
      <name val="Arial"/>
      <b val="1"/>
      <color rgb="007A7060"/>
      <sz val="10"/>
    </font>
    <font>
      <name val="Arial"/>
      <b val="1"/>
      <color rgb="00C8382A"/>
      <sz val="12"/>
    </font>
    <font>
      <name val="Arial"/>
      <i val="1"/>
      <color rgb="007A7060"/>
      <sz val="9"/>
    </font>
  </fonts>
  <fills count="11">
    <fill>
      <patternFill/>
    </fill>
    <fill>
      <patternFill patternType="gray125"/>
    </fill>
    <fill>
      <patternFill patternType="solid">
        <fgColor rgb="000F0D0A"/>
      </patternFill>
    </fill>
    <fill>
      <patternFill patternType="solid">
        <fgColor rgb="00F7F3EB"/>
      </patternFill>
    </fill>
    <fill>
      <patternFill patternType="solid">
        <fgColor rgb="00C8382A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EFF6FF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0F0D0A"/>
      </bottom>
    </border>
    <border>
      <left style="thin">
        <color rgb="00D8D0BE"/>
      </left>
      <right style="thin">
        <color rgb="00D8D0BE"/>
      </right>
      <top style="thin">
        <color rgb="00D8D0BE"/>
      </top>
      <bottom style="thin">
        <color rgb="00D8D0BE"/>
      </bottom>
    </border>
    <border>
      <left style="medium">
        <color rgb="00C8382A"/>
      </left>
      <right style="thin">
        <color rgb="00D8D0BE"/>
      </right>
      <top style="thin">
        <color rgb="00D8D0BE"/>
      </top>
      <bottom style="thin">
        <color rgb="00D8D0BE"/>
      </bottom>
    </border>
    <border>
      <left style="medium">
        <color rgb="00D8D0BE"/>
      </left>
      <right style="thin">
        <color rgb="00D8D0BE"/>
      </right>
      <top style="thin">
        <color rgb="00D8D0BE"/>
      </top>
      <bottom style="thin">
        <color rgb="00D8D0BE"/>
      </bottom>
    </border>
    <border>
      <left style="thin">
        <color rgb="00D8D0BE"/>
      </left>
      <right style="medium">
        <color rgb="00D8D0BE"/>
      </right>
      <top style="thin">
        <color rgb="00D8D0BE"/>
      </top>
      <bottom style="thin">
        <color rgb="00D8D0BE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left" vertical="center" inden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center" vertical="center"/>
    </xf>
    <xf numFmtId="166" fontId="4" fillId="3" borderId="2" applyAlignment="1" pivotButton="0" quotePrefix="0" xfId="0">
      <alignment horizontal="left" vertical="center"/>
    </xf>
    <xf numFmtId="167" fontId="4" fillId="3" borderId="2" applyAlignment="1" pivotButton="0" quotePrefix="0" xfId="0">
      <alignment horizontal="center" vertical="center"/>
    </xf>
    <xf numFmtId="166" fontId="4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0" fillId="6" borderId="4" applyAlignment="1" pivotButton="0" quotePrefix="0" xfId="0">
      <alignment horizontal="left" vertical="center" indent="1"/>
    </xf>
    <xf numFmtId="166" fontId="11" fillId="6" borderId="5" applyAlignment="1" pivotButton="0" quotePrefix="0" xfId="0">
      <alignment horizontal="right" vertical="center" indent="1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5" fontId="4" fillId="6" borderId="2" applyAlignment="1" pivotButton="0" quotePrefix="0" xfId="0">
      <alignment horizontal="center" vertical="center"/>
    </xf>
    <xf numFmtId="166" fontId="4" fillId="6" borderId="2" applyAlignment="1" pivotButton="0" quotePrefix="0" xfId="0">
      <alignment horizontal="left" vertical="center"/>
    </xf>
    <xf numFmtId="167" fontId="4" fillId="6" borderId="2" applyAlignment="1" pivotButton="0" quotePrefix="0" xfId="0">
      <alignment horizontal="center" vertical="center"/>
    </xf>
    <xf numFmtId="166" fontId="4" fillId="6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left" vertical="center" indent="1"/>
    </xf>
    <xf numFmtId="166" fontId="13" fillId="6" borderId="5" applyAlignment="1" pivotButton="0" quotePrefix="0" xfId="0">
      <alignment horizontal="right" vertical="center" indent="1"/>
    </xf>
    <xf numFmtId="0" fontId="6" fillId="7" borderId="2" applyAlignment="1" pivotButton="0" quotePrefix="0" xfId="0">
      <alignment horizontal="center" vertical="center"/>
    </xf>
    <xf numFmtId="0" fontId="14" fillId="6" borderId="4" applyAlignment="1" pivotButton="0" quotePrefix="0" xfId="0">
      <alignment horizontal="left" vertical="center" indent="1"/>
    </xf>
    <xf numFmtId="166" fontId="15" fillId="6" borderId="5" applyAlignment="1" pivotButton="0" quotePrefix="0" xfId="0">
      <alignment horizontal="right" vertical="center" indent="1"/>
    </xf>
    <xf numFmtId="0" fontId="7" fillId="8" borderId="2" applyAlignment="1" pivotButton="0" quotePrefix="0" xfId="0">
      <alignment horizontal="center" vertical="center"/>
    </xf>
    <xf numFmtId="0" fontId="16" fillId="6" borderId="4" applyAlignment="1" pivotButton="0" quotePrefix="0" xfId="0">
      <alignment horizontal="left" vertical="center" indent="1"/>
    </xf>
    <xf numFmtId="166" fontId="17" fillId="6" borderId="5" applyAlignment="1" pivotButton="0" quotePrefix="0" xfId="0">
      <alignment horizontal="right" vertical="center" indent="1"/>
    </xf>
    <xf numFmtId="0" fontId="8" fillId="9" borderId="2" applyAlignment="1" pivotButton="0" quotePrefix="0" xfId="0">
      <alignment horizontal="center" vertical="center"/>
    </xf>
    <xf numFmtId="3" fontId="11" fillId="6" borderId="5" applyAlignment="1" pivotButton="0" quotePrefix="0" xfId="0">
      <alignment horizontal="right" vertical="center" indent="1"/>
    </xf>
    <xf numFmtId="0" fontId="4" fillId="6" borderId="2" pivotButton="0" quotePrefix="0" xfId="0"/>
    <xf numFmtId="166" fontId="4" fillId="6" borderId="2" pivotButton="0" quotePrefix="0" xfId="0"/>
    <xf numFmtId="3" fontId="13" fillId="6" borderId="5" applyAlignment="1" pivotButton="0" quotePrefix="0" xfId="0">
      <alignment horizontal="right" vertical="center" indent="1"/>
    </xf>
    <xf numFmtId="0" fontId="4" fillId="3" borderId="2" pivotButton="0" quotePrefix="0" xfId="0"/>
    <xf numFmtId="166" fontId="4" fillId="3" borderId="2" pivotButton="0" quotePrefix="0" xfId="0"/>
    <xf numFmtId="3" fontId="17" fillId="6" borderId="5" applyAlignment="1" pivotButton="0" quotePrefix="0" xfId="0">
      <alignment horizontal="right" vertical="center" indent="1"/>
    </xf>
    <xf numFmtId="0" fontId="18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 indent="1"/>
    </xf>
    <xf numFmtId="0" fontId="0" fillId="3" borderId="2" pivotButton="0" quotePrefix="0" xfId="0"/>
    <xf numFmtId="0" fontId="0" fillId="6" borderId="2" pivotButton="0" quotePrefix="0" xfId="0"/>
    <xf numFmtId="0" fontId="19" fillId="4" borderId="0" applyAlignment="1" pivotButton="0" quotePrefix="0" xfId="0">
      <alignment horizontal="left" vertical="center" indent="1"/>
    </xf>
    <xf numFmtId="0" fontId="20" fillId="3" borderId="2" applyAlignment="1" pivotButton="0" quotePrefix="0" xfId="0">
      <alignment horizontal="left" vertical="center" indent="1"/>
    </xf>
    <xf numFmtId="166" fontId="21" fillId="10" borderId="2" applyAlignment="1" pivotButton="0" quotePrefix="0" xfId="0">
      <alignment horizontal="right" vertical="center" indent="1"/>
    </xf>
    <xf numFmtId="9" fontId="21" fillId="10" borderId="2" applyAlignment="1" pivotButton="0" quotePrefix="0" xfId="0">
      <alignment horizontal="right" vertical="center" indent="1"/>
    </xf>
    <xf numFmtId="0" fontId="21" fillId="10" borderId="2" applyAlignment="1" pivotButton="0" quotePrefix="0" xfId="0">
      <alignment horizontal="right" vertical="center" indent="1"/>
    </xf>
    <xf numFmtId="3" fontId="11" fillId="6" borderId="2" applyAlignment="1" pivotButton="0" quotePrefix="0" xfId="0">
      <alignment horizontal="right" vertical="center" indent="1"/>
    </xf>
    <xf numFmtId="0" fontId="19" fillId="2" borderId="0" applyAlignment="1" pivotButton="0" quotePrefix="0" xfId="0">
      <alignment horizontal="left" vertical="center" indent="1"/>
    </xf>
    <xf numFmtId="166" fontId="11" fillId="6" borderId="2" applyAlignment="1" pivotButton="0" quotePrefix="0" xfId="0">
      <alignment horizontal="right" vertical="center" indent="1"/>
    </xf>
    <xf numFmtId="0" fontId="22" fillId="3" borderId="2" applyAlignment="1" pivotButton="0" quotePrefix="0" xfId="0">
      <alignment horizontal="left" vertical="center" indent="1"/>
    </xf>
    <xf numFmtId="166" fontId="23" fillId="6" borderId="2" applyAlignment="1" pivotButton="0" quotePrefix="0" xfId="0">
      <alignment horizontal="right" vertical="center" indent="1"/>
    </xf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28" customWidth="1" min="5" max="5"/>
    <col width="14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  <col width="4" customWidth="1" min="14" max="14"/>
    <col width="22" customWidth="1" min="15" max="15"/>
    <col width="22" customWidth="1" min="16" max="16"/>
  </cols>
  <sheetData>
    <row r="1" ht="36" customHeight="1">
      <c r="A1" s="1" t="inlineStr">
        <is>
          <t>InvoiceKit — Invoice Tracker</t>
        </is>
      </c>
    </row>
    <row r="2" ht="22" customHeight="1">
      <c r="A2" s="2" t="inlineStr">
        <is>
          <t>Track every invoice, monitor cash flow, and never miss a payment.</t>
        </is>
      </c>
    </row>
    <row r="3" ht="8" customHeight="1"/>
    <row r="4" ht="28" customHeight="1">
      <c r="A4" s="3" t="inlineStr">
        <is>
          <t>Invoice #</t>
        </is>
      </c>
      <c r="B4" s="3" t="inlineStr">
        <is>
          <t>Client</t>
        </is>
      </c>
      <c r="C4" s="3" t="inlineStr">
        <is>
          <t>Issue Date</t>
        </is>
      </c>
      <c r="D4" s="3" t="inlineStr">
        <is>
          <t>Due Date</t>
        </is>
      </c>
      <c r="E4" s="3" t="inlineStr">
        <is>
          <t>Description</t>
        </is>
      </c>
      <c r="F4" s="3" t="inlineStr">
        <is>
          <t>Subtotal</t>
        </is>
      </c>
      <c r="G4" s="3" t="inlineStr">
        <is>
          <t>Tax %</t>
        </is>
      </c>
      <c r="H4" s="3" t="inlineStr">
        <is>
          <t>Tax Amt</t>
        </is>
      </c>
      <c r="I4" s="3" t="inlineStr">
        <is>
          <t>Total</t>
        </is>
      </c>
      <c r="J4" s="3" t="inlineStr">
        <is>
          <t>Status</t>
        </is>
      </c>
      <c r="K4" s="3" t="inlineStr">
        <is>
          <t>Paid Date</t>
        </is>
      </c>
      <c r="L4" s="3" t="inlineStr">
        <is>
          <t>Notes</t>
        </is>
      </c>
      <c r="O4" s="4" t="inlineStr">
        <is>
          <t>SUMMARY</t>
        </is>
      </c>
    </row>
    <row r="5" ht="22" customHeight="1">
      <c r="A5" s="5" t="inlineStr">
        <is>
          <t>INV-001</t>
        </is>
      </c>
      <c r="B5" s="6" t="inlineStr">
        <is>
          <t>Acme Corp</t>
        </is>
      </c>
      <c r="C5" s="7" t="n">
        <v>46113</v>
      </c>
      <c r="D5" s="7" t="n">
        <v>46143</v>
      </c>
      <c r="E5" s="6" t="inlineStr">
        <is>
          <t>Brand Identity Design</t>
        </is>
      </c>
      <c r="F5" s="8" t="n">
        <v>1500</v>
      </c>
      <c r="G5" s="9" t="n">
        <v>0</v>
      </c>
      <c r="H5" s="10" t="n">
        <v>0</v>
      </c>
      <c r="I5" s="10" t="n">
        <v>1500</v>
      </c>
      <c r="J5" s="11" t="inlineStr">
        <is>
          <t>Paid</t>
        </is>
      </c>
      <c r="K5" s="7" t="n">
        <v>46140</v>
      </c>
      <c r="L5" s="6" t="inlineStr">
        <is>
          <t>Paid via bank transfer</t>
        </is>
      </c>
      <c r="O5" s="12" t="inlineStr">
        <is>
          <t>Total Invoiced</t>
        </is>
      </c>
      <c r="P5" s="13">
        <f>SUMIF(I5:I15,"&lt;&gt;")</f>
        <v/>
      </c>
    </row>
    <row r="6" ht="22" customHeight="1">
      <c r="A6" s="14" t="inlineStr">
        <is>
          <t>INV-002</t>
        </is>
      </c>
      <c r="B6" s="15" t="inlineStr">
        <is>
          <t>BlueSky Media</t>
        </is>
      </c>
      <c r="C6" s="16" t="n">
        <v>46117</v>
      </c>
      <c r="D6" s="16" t="n">
        <v>46147</v>
      </c>
      <c r="E6" s="15" t="inlineStr">
        <is>
          <t>Landing Page Dev</t>
        </is>
      </c>
      <c r="F6" s="17" t="n">
        <v>750</v>
      </c>
      <c r="G6" s="18" t="n">
        <v>0.08500000000000001</v>
      </c>
      <c r="H6" s="19" t="n">
        <v>0</v>
      </c>
      <c r="I6" s="19" t="n">
        <v>0</v>
      </c>
      <c r="J6" s="11" t="inlineStr">
        <is>
          <t>Paid</t>
        </is>
      </c>
      <c r="K6" s="16" t="n">
        <v>46145</v>
      </c>
      <c r="L6" s="15" t="inlineStr"/>
      <c r="O6" s="20" t="inlineStr">
        <is>
          <t>Total Paid</t>
        </is>
      </c>
      <c r="P6" s="21">
        <f>SUMIF(J5:J15,"Paid",I5:I15)</f>
        <v/>
      </c>
    </row>
    <row r="7" ht="22" customHeight="1">
      <c r="A7" s="5" t="inlineStr">
        <is>
          <t>INV-003</t>
        </is>
      </c>
      <c r="B7" s="6" t="inlineStr">
        <is>
          <t>Greenleaf Studio</t>
        </is>
      </c>
      <c r="C7" s="7" t="n">
        <v>46122</v>
      </c>
      <c r="D7" s="7" t="n">
        <v>46152</v>
      </c>
      <c r="E7" s="6" t="inlineStr">
        <is>
          <t>Logo + Style Guide</t>
        </is>
      </c>
      <c r="F7" s="8" t="n">
        <v>2200</v>
      </c>
      <c r="G7" s="9" t="n">
        <v>0</v>
      </c>
      <c r="H7" s="10" t="n">
        <v>0</v>
      </c>
      <c r="I7" s="10" t="n">
        <v>2200</v>
      </c>
      <c r="J7" s="22" t="inlineStr">
        <is>
          <t>Pending</t>
        </is>
      </c>
      <c r="K7" s="5" t="inlineStr"/>
      <c r="L7" s="6" t="inlineStr">
        <is>
          <t>Follow up Apr 30</t>
        </is>
      </c>
      <c r="O7" s="23" t="inlineStr">
        <is>
          <t>Total Pending</t>
        </is>
      </c>
      <c r="P7" s="24">
        <f>SUMIF(J5:J15,"Pending",I5:I15)</f>
        <v/>
      </c>
    </row>
    <row r="8" ht="22" customHeight="1">
      <c r="A8" s="14" t="inlineStr">
        <is>
          <t>INV-004</t>
        </is>
      </c>
      <c r="B8" s="15" t="inlineStr">
        <is>
          <t>Horizon Tech</t>
        </is>
      </c>
      <c r="C8" s="16" t="n">
        <v>46127</v>
      </c>
      <c r="D8" s="16" t="n">
        <v>46157</v>
      </c>
      <c r="E8" s="15" t="inlineStr">
        <is>
          <t>Monthly Retainer - Apr</t>
        </is>
      </c>
      <c r="F8" s="17" t="n">
        <v>1000</v>
      </c>
      <c r="G8" s="18" t="n">
        <v>0</v>
      </c>
      <c r="H8" s="19" t="n">
        <v>0</v>
      </c>
      <c r="I8" s="19" t="n">
        <v>1000</v>
      </c>
      <c r="J8" s="25" t="inlineStr">
        <is>
          <t>Overdue</t>
        </is>
      </c>
      <c r="K8" s="14" t="inlineStr"/>
      <c r="L8" s="15" t="inlineStr">
        <is>
          <t>2nd reminder sent</t>
        </is>
      </c>
      <c r="O8" s="26" t="inlineStr">
        <is>
          <t>Total Overdue</t>
        </is>
      </c>
      <c r="P8" s="27">
        <f>SUMIF(J5:J15,"Overdue",I5:I15)</f>
        <v/>
      </c>
    </row>
    <row r="9" ht="22" customHeight="1">
      <c r="A9" s="5" t="inlineStr">
        <is>
          <t>INV-005</t>
        </is>
      </c>
      <c r="B9" s="6" t="inlineStr">
        <is>
          <t>Maple &amp; Co</t>
        </is>
      </c>
      <c r="C9" s="7" t="n">
        <v>46132</v>
      </c>
      <c r="D9" s="7" t="n">
        <v>46162</v>
      </c>
      <c r="E9" s="6" t="inlineStr">
        <is>
          <t>Social Media Kit</t>
        </is>
      </c>
      <c r="F9" s="8" t="n">
        <v>600</v>
      </c>
      <c r="G9" s="9" t="n">
        <v>0</v>
      </c>
      <c r="H9" s="10" t="n">
        <v>0</v>
      </c>
      <c r="I9" s="10" t="n">
        <v>600</v>
      </c>
      <c r="J9" s="28" t="inlineStr">
        <is>
          <t>Draft</t>
        </is>
      </c>
      <c r="K9" s="5" t="inlineStr"/>
      <c r="L9" s="6" t="inlineStr"/>
      <c r="O9" s="12" t="inlineStr">
        <is>
          <t># Invoices</t>
        </is>
      </c>
      <c r="P9" s="29">
        <f>COUNTA(A5:A15)</f>
        <v/>
      </c>
    </row>
    <row r="10" ht="22" customHeight="1">
      <c r="A10" s="30" t="n"/>
      <c r="B10" s="30" t="n"/>
      <c r="C10" s="30" t="n"/>
      <c r="D10" s="30" t="n"/>
      <c r="E10" s="30" t="n"/>
      <c r="F10" s="30" t="n"/>
      <c r="G10" s="30" t="n"/>
      <c r="H10" s="31">
        <f>IF(F10="","",F10*G10)</f>
        <v/>
      </c>
      <c r="I10" s="31">
        <f>IF(F10="","",F10+H10)</f>
        <v/>
      </c>
      <c r="J10" s="30" t="n"/>
      <c r="K10" s="30" t="n"/>
      <c r="L10" s="30" t="n"/>
      <c r="O10" s="20" t="inlineStr">
        <is>
          <t># Paid</t>
        </is>
      </c>
      <c r="P10" s="32">
        <f>COUNTIF(J5:J15,"Paid")</f>
        <v/>
      </c>
    </row>
    <row r="11" ht="22" customHeight="1">
      <c r="A11" s="33" t="n"/>
      <c r="B11" s="33" t="n"/>
      <c r="C11" s="33" t="n"/>
      <c r="D11" s="33" t="n"/>
      <c r="E11" s="33" t="n"/>
      <c r="F11" s="33" t="n"/>
      <c r="G11" s="33" t="n"/>
      <c r="H11" s="34">
        <f>IF(F11="","",F11*G11)</f>
        <v/>
      </c>
      <c r="I11" s="34">
        <f>IF(F11="","",F11+H11)</f>
        <v/>
      </c>
      <c r="J11" s="33" t="n"/>
      <c r="K11" s="33" t="n"/>
      <c r="L11" s="33" t="n"/>
      <c r="O11" s="26" t="inlineStr">
        <is>
          <t># Overdue</t>
        </is>
      </c>
      <c r="P11" s="35">
        <f>COUNTIF(J5:J15,"Overdue")</f>
        <v/>
      </c>
    </row>
    <row r="12" ht="20" customHeight="1">
      <c r="A12" s="30" t="n"/>
      <c r="B12" s="30" t="n"/>
      <c r="C12" s="30" t="n"/>
      <c r="D12" s="30" t="n"/>
      <c r="E12" s="30" t="n"/>
      <c r="F12" s="30" t="n"/>
      <c r="G12" s="30" t="n"/>
      <c r="H12" s="31">
        <f>IF(F12="","",F12*G12)</f>
        <v/>
      </c>
      <c r="I12" s="31">
        <f>IF(F12="","",F12+H12)</f>
        <v/>
      </c>
      <c r="J12" s="30" t="n"/>
      <c r="K12" s="30" t="n"/>
      <c r="L12" s="30" t="n"/>
    </row>
    <row r="13" ht="20" customHeight="1">
      <c r="A13" s="33" t="n"/>
      <c r="B13" s="33" t="n"/>
      <c r="C13" s="33" t="n"/>
      <c r="D13" s="33" t="n"/>
      <c r="E13" s="33" t="n"/>
      <c r="F13" s="33" t="n"/>
      <c r="G13" s="33" t="n"/>
      <c r="H13" s="34">
        <f>IF(F13="","",F13*G13)</f>
        <v/>
      </c>
      <c r="I13" s="34">
        <f>IF(F13="","",F13+H13)</f>
        <v/>
      </c>
      <c r="J13" s="33" t="n"/>
      <c r="K13" s="33" t="n"/>
      <c r="L13" s="33" t="n"/>
    </row>
    <row r="14" ht="20" customHeight="1">
      <c r="A14" s="30" t="n"/>
      <c r="B14" s="30" t="n"/>
      <c r="C14" s="30" t="n"/>
      <c r="D14" s="30" t="n"/>
      <c r="E14" s="30" t="n"/>
      <c r="F14" s="30" t="n"/>
      <c r="G14" s="30" t="n"/>
      <c r="H14" s="31">
        <f>IF(F14="","",F14*G14)</f>
        <v/>
      </c>
      <c r="I14" s="31">
        <f>IF(F14="","",F14+H14)</f>
        <v/>
      </c>
      <c r="J14" s="30" t="n"/>
      <c r="K14" s="30" t="n"/>
      <c r="L14" s="30" t="n"/>
    </row>
    <row r="15" ht="20" customHeight="1">
      <c r="A15" s="33" t="n"/>
      <c r="B15" s="33" t="n"/>
      <c r="C15" s="33" t="n"/>
      <c r="D15" s="33" t="n"/>
      <c r="E15" s="33" t="n"/>
      <c r="F15" s="33" t="n"/>
      <c r="G15" s="33" t="n"/>
      <c r="H15" s="34">
        <f>IF(F15="","",F15*G15)</f>
        <v/>
      </c>
      <c r="I15" s="34">
        <f>IF(F15="","",F15+H15)</f>
        <v/>
      </c>
      <c r="J15" s="33" t="n"/>
      <c r="K15" s="33" t="n"/>
      <c r="L15" s="33" t="n"/>
    </row>
  </sheetData>
  <mergeCells count="2">
    <mergeCell ref="A2:L2"/>
    <mergeCell ref="A1:L1"/>
  </mergeCells>
  <dataValidations count="1">
    <dataValidation sqref="J5:J20" showDropDown="0" showInputMessage="0" showErrorMessage="0" allowBlank="1" type="list">
      <formula1>"Paid,Pending,Overdue,Draft"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16" customWidth="1" min="4" max="4"/>
    <col width="36" customWidth="1" min="5" max="5"/>
  </cols>
  <sheetData>
    <row r="1" ht="32" customHeight="1">
      <c r="A1" s="36" t="inlineStr">
        <is>
          <t>Client Directory</t>
        </is>
      </c>
    </row>
    <row r="2" ht="24" customHeight="1">
      <c r="A2" s="37" t="inlineStr">
        <is>
          <t>Client Name</t>
        </is>
      </c>
      <c r="B2" s="37" t="inlineStr">
        <is>
          <t>Contact</t>
        </is>
      </c>
      <c r="C2" s="37" t="inlineStr">
        <is>
          <t>Email</t>
        </is>
      </c>
      <c r="D2" s="37" t="inlineStr">
        <is>
          <t>Phone</t>
        </is>
      </c>
      <c r="E2" s="37" t="inlineStr">
        <is>
          <t>Notes</t>
        </is>
      </c>
    </row>
    <row r="3" ht="20" customHeight="1">
      <c r="A3" s="38" t="inlineStr">
        <is>
          <t>Acme Corp</t>
        </is>
      </c>
      <c r="B3" s="38" t="inlineStr">
        <is>
          <t>Sarah Johnson</t>
        </is>
      </c>
      <c r="C3" s="38" t="inlineStr">
        <is>
          <t>sarah@acme.com</t>
        </is>
      </c>
      <c r="D3" s="38" t="inlineStr">
        <is>
          <t>555-0101</t>
        </is>
      </c>
      <c r="E3" s="38" t="inlineStr">
        <is>
          <t>Net 30</t>
        </is>
      </c>
    </row>
    <row r="4" ht="20" customHeight="1">
      <c r="A4" s="39" t="inlineStr">
        <is>
          <t>BlueSky Media</t>
        </is>
      </c>
      <c r="B4" s="39" t="inlineStr">
        <is>
          <t>Tom Rivera</t>
        </is>
      </c>
      <c r="C4" s="39" t="inlineStr">
        <is>
          <t>tom@bluesky.com</t>
        </is>
      </c>
      <c r="D4" s="39" t="inlineStr">
        <is>
          <t>555-0102</t>
        </is>
      </c>
      <c r="E4" s="39" t="inlineStr">
        <is>
          <t>Net 15</t>
        </is>
      </c>
    </row>
    <row r="5" ht="20" customHeight="1">
      <c r="A5" s="38" t="inlineStr">
        <is>
          <t>Greenleaf Studio</t>
        </is>
      </c>
      <c r="B5" s="38" t="inlineStr">
        <is>
          <t>Maya Patel</t>
        </is>
      </c>
      <c r="C5" s="38" t="inlineStr">
        <is>
          <t>maya@greenleaf.com</t>
        </is>
      </c>
      <c r="D5" s="38" t="inlineStr">
        <is>
          <t>555-0103</t>
        </is>
      </c>
      <c r="E5" s="38" t="inlineStr">
        <is>
          <t>Net 30</t>
        </is>
      </c>
    </row>
    <row r="6" ht="20" customHeight="1">
      <c r="A6" s="39" t="inlineStr">
        <is>
          <t>Horizon Tech</t>
        </is>
      </c>
      <c r="B6" s="39" t="inlineStr">
        <is>
          <t>James Wu</t>
        </is>
      </c>
      <c r="C6" s="39" t="inlineStr">
        <is>
          <t>james@horizontech.com</t>
        </is>
      </c>
      <c r="D6" s="39" t="inlineStr">
        <is>
          <t>555-0104</t>
        </is>
      </c>
      <c r="E6" s="39" t="inlineStr">
        <is>
          <t>Net 30, monthly retainer</t>
        </is>
      </c>
    </row>
    <row r="7" ht="20" customHeight="1">
      <c r="A7" s="38" t="inlineStr">
        <is>
          <t>Maple &amp; Co</t>
        </is>
      </c>
      <c r="B7" s="38" t="inlineStr">
        <is>
          <t>Lisa Tremblay</t>
        </is>
      </c>
      <c r="C7" s="38" t="inlineStr">
        <is>
          <t>lisa@maple.co</t>
        </is>
      </c>
      <c r="D7" s="38" t="inlineStr">
        <is>
          <t>555-0105</t>
        </is>
      </c>
      <c r="E7" s="38" t="inlineStr">
        <is>
          <t>Due on receipt</t>
        </is>
      </c>
    </row>
    <row r="8" ht="20" customHeight="1">
      <c r="A8" s="40" t="n"/>
      <c r="B8" s="40" t="n"/>
      <c r="C8" s="40" t="n"/>
      <c r="D8" s="40" t="n"/>
      <c r="E8" s="40" t="n"/>
    </row>
    <row r="9" ht="20" customHeight="1">
      <c r="A9" s="41" t="n"/>
      <c r="B9" s="41" t="n"/>
      <c r="C9" s="41" t="n"/>
      <c r="D9" s="41" t="n"/>
      <c r="E9" s="41" t="n"/>
    </row>
    <row r="10" ht="20" customHeight="1">
      <c r="A10" s="40" t="n"/>
      <c r="B10" s="40" t="n"/>
      <c r="C10" s="40" t="n"/>
      <c r="D10" s="40" t="n"/>
      <c r="E10" s="40" t="n"/>
    </row>
    <row r="11" ht="20" customHeight="1">
      <c r="A11" s="41" t="n"/>
      <c r="B11" s="41" t="n"/>
      <c r="C11" s="41" t="n"/>
      <c r="D11" s="41" t="n"/>
      <c r="E11" s="41" t="n"/>
    </row>
    <row r="12" ht="20" customHeight="1">
      <c r="A12" s="40" t="n"/>
      <c r="B12" s="40" t="n"/>
      <c r="C12" s="40" t="n"/>
      <c r="D12" s="40" t="n"/>
      <c r="E12" s="40" t="n"/>
    </row>
    <row r="13" ht="20" customHeight="1">
      <c r="A13" s="41" t="n"/>
      <c r="B13" s="41" t="n"/>
      <c r="C13" s="41" t="n"/>
      <c r="D13" s="41" t="n"/>
      <c r="E13" s="41" t="n"/>
    </row>
    <row r="14" ht="20" customHeight="1">
      <c r="A14" s="40" t="n"/>
      <c r="B14" s="40" t="n"/>
      <c r="C14" s="40" t="n"/>
      <c r="D14" s="40" t="n"/>
      <c r="E14" s="40" t="n"/>
    </row>
    <row r="15" ht="20" customHeight="1">
      <c r="A15" s="41" t="n"/>
      <c r="B15" s="41" t="n"/>
      <c r="C15" s="41" t="n"/>
      <c r="D15" s="41" t="n"/>
      <c r="E15" s="41" t="n"/>
    </row>
    <row r="16" ht="20" customHeight="1">
      <c r="A16" s="40" t="n"/>
      <c r="B16" s="40" t="n"/>
      <c r="C16" s="40" t="n"/>
      <c r="D16" s="40" t="n"/>
      <c r="E16" s="40" t="n"/>
    </row>
    <row r="17" ht="20" customHeight="1">
      <c r="A17" s="41" t="n"/>
      <c r="B17" s="41" t="n"/>
      <c r="C17" s="41" t="n"/>
      <c r="D17" s="41" t="n"/>
      <c r="E17" s="41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" customWidth="1" min="3" max="3"/>
    <col width="24" customWidth="1" min="4" max="4"/>
  </cols>
  <sheetData>
    <row r="1" ht="32" customHeight="1">
      <c r="A1" s="36" t="inlineStr">
        <is>
          <t>Freelancer Rate Calculator</t>
        </is>
      </c>
    </row>
    <row r="3" ht="26" customHeight="1">
      <c r="A3" s="42" t="inlineStr">
        <is>
          <t>① Your Income Goal</t>
        </is>
      </c>
    </row>
    <row r="4" ht="22" customHeight="1">
      <c r="A4" s="43" t="inlineStr">
        <is>
          <t>Desired annual income ($)</t>
        </is>
      </c>
      <c r="B4" s="44" t="n">
        <v>80000</v>
      </c>
    </row>
    <row r="5" ht="22" customHeight="1">
      <c r="A5" s="43" t="inlineStr">
        <is>
          <t>Business expenses per year ($)</t>
        </is>
      </c>
      <c r="B5" s="44" t="n">
        <v>5000</v>
      </c>
    </row>
    <row r="6" ht="22" customHeight="1">
      <c r="A6" s="43" t="inlineStr">
        <is>
          <t>Taxes (% of gross income)</t>
        </is>
      </c>
      <c r="B6" s="45" t="n">
        <v>0.3</v>
      </c>
    </row>
    <row r="8" ht="26" customHeight="1">
      <c r="A8" s="42" t="inlineStr">
        <is>
          <t>② Your Working Hours</t>
        </is>
      </c>
    </row>
    <row r="9" ht="22" customHeight="1">
      <c r="A9" s="43" t="inlineStr">
        <is>
          <t>Weeks worked per year</t>
        </is>
      </c>
      <c r="B9" s="46" t="n">
        <v>48</v>
      </c>
    </row>
    <row r="10" ht="22" customHeight="1">
      <c r="A10" s="43" t="inlineStr">
        <is>
          <t>Billable hours per week</t>
        </is>
      </c>
      <c r="B10" s="46" t="n">
        <v>30</v>
      </c>
    </row>
    <row r="11" ht="22" customHeight="1">
      <c r="A11" s="43" t="inlineStr">
        <is>
          <t>Total billable hours/year</t>
        </is>
      </c>
      <c r="B11" s="47">
        <f>B9*B10</f>
        <v/>
      </c>
    </row>
    <row r="13" ht="26" customHeight="1">
      <c r="A13" s="48" t="inlineStr">
        <is>
          <t>③ Your Rate</t>
        </is>
      </c>
    </row>
    <row r="14" ht="22" customHeight="1">
      <c r="A14" s="43" t="inlineStr">
        <is>
          <t>Gross income needed ($)</t>
        </is>
      </c>
      <c r="B14" s="49">
        <f>(B4+B5)/(1-B6)</f>
        <v/>
      </c>
    </row>
    <row r="15" ht="26" customHeight="1">
      <c r="A15" s="50" t="inlineStr">
        <is>
          <t>✅  Minimum hourly rate</t>
        </is>
      </c>
      <c r="B15" s="51">
        <f>B14/B11</f>
        <v/>
      </c>
    </row>
    <row r="16" ht="26" customHeight="1">
      <c r="A16" s="50" t="inlineStr">
        <is>
          <t>⭐  Recommended rate (+20%)</t>
        </is>
      </c>
      <c r="B16" s="51">
        <f>B15*1.2</f>
        <v/>
      </c>
    </row>
    <row r="17" ht="26" customHeight="1">
      <c r="A17" s="50" t="inlineStr">
        <is>
          <t>🚀  Stretch rate (+50%)</t>
        </is>
      </c>
      <c r="B17" s="51">
        <f>B15*1.5</f>
        <v/>
      </c>
    </row>
    <row r="19" ht="20" customHeight="1">
      <c r="A19" s="52" t="inlineStr">
        <is>
          <t>Blue cells = inputs you can change. Black cells = calculated.</t>
        </is>
      </c>
    </row>
  </sheetData>
  <mergeCells count="4">
    <mergeCell ref="A1:D1"/>
    <mergeCell ref="A8:B8"/>
    <mergeCell ref="A3:B3"/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2026-04-28T04:49:40Z</dcterms:created>
  <dcterms:modified xmlns:dcterms="http://purl.org/dc/terms/" xmlns:xsi="http://www.w3.org/2001/XMLSchema-instance" xsi:type="dcterms:W3CDTF">2026-04-28T04:49:40Z</dcterms:modified>
</cp:coreProperties>
</file>